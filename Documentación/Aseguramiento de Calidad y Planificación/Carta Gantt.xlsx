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4"/>
  </sheets>
  <definedNames/>
  <calcPr/>
</workbook>
</file>

<file path=xl/sharedStrings.xml><?xml version="1.0" encoding="utf-8"?>
<sst xmlns="http://schemas.openxmlformats.org/spreadsheetml/2006/main" count="136" uniqueCount="59">
  <si>
    <t xml:space="preserve">  </t>
  </si>
  <si>
    <t xml:space="preserve">    </t>
  </si>
  <si>
    <t>NÚMERO EDT</t>
  </si>
  <si>
    <t>TÍTULO DE LA TAREA</t>
  </si>
  <si>
    <t>RESPONSABLE DE LA TAREA</t>
  </si>
  <si>
    <t>FECHA DE INICIO</t>
  </si>
  <si>
    <t>FECHA DE ENTREGA</t>
  </si>
  <si>
    <t>DURACIÓN (Días)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</si>
  <si>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</si>
  <si>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</si>
  <si>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</si>
  <si>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</si>
  <si>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</si>
  <si>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</si>
  <si>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</si>
  <si>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</si>
  <si>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SEMANA 9</t>
  </si>
  <si>
    <t>SEMANA 10</t>
  </si>
  <si>
    <t>SEMANA 11</t>
  </si>
  <si>
    <t>SEMANA 12</t>
  </si>
  <si>
    <t>SEMANA 13</t>
  </si>
  <si>
    <t>SEMANA 14</t>
  </si>
  <si>
    <t>SEMANA 15</t>
  </si>
  <si>
    <t>L</t>
  </si>
  <si>
    <t>M</t>
  </si>
  <si>
    <t>X</t>
  </si>
  <si>
    <t>J</t>
  </si>
  <si>
    <t>V</t>
  </si>
  <si>
    <t>Inicio</t>
  </si>
  <si>
    <t>Definición de alcance</t>
  </si>
  <si>
    <t>Jefe de proyecto</t>
  </si>
  <si>
    <t>Análisis</t>
  </si>
  <si>
    <t>2.1</t>
  </si>
  <si>
    <t>Recolección de requisitos</t>
  </si>
  <si>
    <t>Analista</t>
  </si>
  <si>
    <t>Análisis de tecnologías</t>
  </si>
  <si>
    <t>Diseño</t>
  </si>
  <si>
    <t>Modelado de sistema y arquitectura</t>
  </si>
  <si>
    <t>Arquitecto</t>
  </si>
  <si>
    <t>Diseño de interfaz</t>
  </si>
  <si>
    <t>Diseñador UX/UI</t>
  </si>
  <si>
    <t>Hito 1</t>
  </si>
  <si>
    <t>Evaluación 1</t>
  </si>
  <si>
    <t>Desarrollo</t>
  </si>
  <si>
    <t>Backend</t>
  </si>
  <si>
    <t>Dev. Backend</t>
  </si>
  <si>
    <t>Frontend</t>
  </si>
  <si>
    <t>Dev. Frontend</t>
  </si>
  <si>
    <t>Hito 2</t>
  </si>
  <si>
    <t>Evaluación 2</t>
  </si>
  <si>
    <t>Pruebas</t>
  </si>
  <si>
    <t>QA y pruebas funcionales</t>
  </si>
  <si>
    <t>QA/Tester</t>
  </si>
  <si>
    <t>Manuales y formación institucional</t>
  </si>
  <si>
    <t>Equipo capacitación</t>
  </si>
  <si>
    <t>Hito 3</t>
  </si>
  <si>
    <t>Evaluación 3</t>
  </si>
  <si>
    <t>Hito 4</t>
  </si>
  <si>
    <t>Evaluación Transversal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</si>
</sst>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.m"/>
    <numFmt numFmtId="166" formatCode="dd/mm/yy"/>
  </numFmts>
  <fonts count="3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name val="Arial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b/>
      <sz val="11.0"/>
      <color rgb="FF434343"/>
      <name val="Roboto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4C1130"/>
        <bgColor rgb="FF4C113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741B47"/>
        <bgColor rgb="FF741B47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6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0"/>
    </xf>
    <xf borderId="0" fillId="2" fontId="12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2" fontId="15" numFmtId="0" xfId="0" applyAlignment="1" applyFont="1">
      <alignment vertical="center"/>
    </xf>
    <xf borderId="0" fillId="2" fontId="1" numFmtId="0" xfId="0" applyAlignment="1" applyFont="1">
      <alignment vertical="center"/>
    </xf>
    <xf borderId="0" fillId="2" fontId="6" numFmtId="0" xfId="0" applyAlignment="1" applyFont="1">
      <alignment readingOrder="0" vertical="center"/>
    </xf>
    <xf borderId="2" fillId="2" fontId="16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7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2" fillId="2" fontId="17" numFmtId="0" xfId="0" applyAlignment="1" applyBorder="1" applyFont="1">
      <alignment horizontal="left" readingOrder="0" vertical="center"/>
    </xf>
    <xf borderId="0" fillId="2" fontId="4" numFmtId="0" xfId="0" applyFont="1"/>
    <xf borderId="2" fillId="2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shrinkToFit="0" vertical="center" wrapText="0"/>
    </xf>
    <xf borderId="0" fillId="2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3" fillId="4" fontId="21" numFmtId="0" xfId="0" applyAlignment="1" applyBorder="1" applyFill="1" applyFont="1">
      <alignment horizontal="center" readingOrder="0" shrinkToFit="0" vertical="center" wrapText="0"/>
    </xf>
    <xf borderId="3" fillId="5" fontId="21" numFmtId="0" xfId="0" applyAlignment="1" applyBorder="1" applyFill="1" applyFont="1">
      <alignment horizontal="center" readingOrder="0" shrinkToFit="0" vertical="center" wrapText="0"/>
    </xf>
    <xf borderId="3" fillId="6" fontId="21" numFmtId="0" xfId="0" applyAlignment="1" applyBorder="1" applyFill="1" applyFont="1">
      <alignment horizontal="center" readingOrder="0" shrinkToFit="0" vertical="center" wrapText="0"/>
    </xf>
    <xf borderId="3" fillId="7" fontId="21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3" fillId="8" fontId="21" numFmtId="0" xfId="0" applyAlignment="1" applyBorder="1" applyFill="1" applyFont="1">
      <alignment horizontal="center" readingOrder="0" shrinkToFit="0" vertical="center" wrapText="0"/>
    </xf>
    <xf borderId="0" fillId="8" fontId="21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vertical="center"/>
    </xf>
    <xf borderId="5" fillId="9" fontId="21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10" fontId="21" numFmtId="0" xfId="0" applyAlignment="1" applyBorder="1" applyFill="1" applyFont="1">
      <alignment horizontal="center" readingOrder="0" shrinkToFit="0" vertical="center" wrapText="0"/>
    </xf>
    <xf borderId="5" fillId="11" fontId="21" numFmtId="0" xfId="0" applyAlignment="1" applyBorder="1" applyFill="1" applyFont="1">
      <alignment horizontal="center" readingOrder="0" shrinkToFit="0" vertical="center" wrapText="0"/>
    </xf>
    <xf borderId="5" fillId="12" fontId="21" numFmtId="0" xfId="0" applyAlignment="1" applyBorder="1" applyFill="1" applyFont="1">
      <alignment horizontal="center" readingOrder="0" shrinkToFit="0" vertical="center" wrapText="0"/>
    </xf>
    <xf borderId="5" fillId="13" fontId="21" numFmtId="0" xfId="0" applyAlignment="1" applyBorder="1" applyFill="1" applyFont="1">
      <alignment horizontal="center" readingOrder="0" shrinkToFit="0" vertical="center" wrapText="0"/>
    </xf>
    <xf borderId="5" fillId="13" fontId="21" numFmtId="0" xfId="0" applyAlignment="1" applyBorder="1" applyFont="1">
      <alignment horizontal="center"/>
    </xf>
    <xf borderId="0" fillId="0" fontId="23" numFmtId="0" xfId="0" applyAlignment="1" applyFont="1">
      <alignment vertical="center"/>
    </xf>
    <xf borderId="8" fillId="14" fontId="24" numFmtId="0" xfId="0" applyAlignment="1" applyBorder="1" applyFill="1" applyFont="1">
      <alignment horizontal="center" readingOrder="0" shrinkToFit="0" vertical="center" wrapText="0"/>
    </xf>
    <xf borderId="8" fillId="15" fontId="24" numFmtId="0" xfId="0" applyAlignment="1" applyBorder="1" applyFill="1" applyFont="1">
      <alignment horizontal="center" readingOrder="0" shrinkToFit="0" vertical="center" wrapText="0"/>
    </xf>
    <xf borderId="8" fillId="16" fontId="24" numFmtId="0" xfId="0" applyAlignment="1" applyBorder="1" applyFill="1" applyFont="1">
      <alignment horizontal="center" readingOrder="0" shrinkToFit="0" vertical="center" wrapText="0"/>
    </xf>
    <xf borderId="8" fillId="17" fontId="24" numFmtId="0" xfId="0" applyAlignment="1" applyBorder="1" applyFill="1" applyFont="1">
      <alignment horizontal="center" readingOrder="0" shrinkToFit="0" vertical="center" wrapText="0"/>
    </xf>
    <xf borderId="8" fillId="17" fontId="24" numFmtId="0" xfId="0" applyAlignment="1" applyBorder="1" applyFont="1">
      <alignment horizontal="center"/>
    </xf>
    <xf borderId="9" fillId="18" fontId="25" numFmtId="0" xfId="0" applyAlignment="1" applyBorder="1" applyFill="1" applyFont="1">
      <alignment horizontal="left" readingOrder="0" shrinkToFit="0" vertical="center" wrapText="1"/>
    </xf>
    <xf borderId="9" fillId="18" fontId="25" numFmtId="0" xfId="0" applyAlignment="1" applyBorder="1" applyFont="1">
      <alignment readingOrder="0" shrinkToFit="0" vertical="center" wrapText="0"/>
    </xf>
    <xf borderId="9" fillId="18" fontId="25" numFmtId="0" xfId="0" applyAlignment="1" applyBorder="1" applyFont="1">
      <alignment readingOrder="0" shrinkToFit="0" vertical="center" wrapText="1"/>
    </xf>
    <xf borderId="0" fillId="18" fontId="25" numFmtId="0" xfId="0" applyAlignment="1" applyFont="1">
      <alignment horizontal="center" shrinkToFit="0" vertical="center" wrapText="0"/>
    </xf>
    <xf borderId="0" fillId="18" fontId="25" numFmtId="164" xfId="0" applyAlignment="1" applyFont="1" applyNumberFormat="1">
      <alignment horizontal="center" shrinkToFit="0" vertical="center" wrapText="0"/>
    </xf>
    <xf borderId="0" fillId="18" fontId="25" numFmtId="3" xfId="0" applyAlignment="1" applyFont="1" applyNumberFormat="1">
      <alignment horizontal="center" shrinkToFit="0" vertical="center" wrapText="0"/>
    </xf>
    <xf borderId="0" fillId="18" fontId="25" numFmtId="0" xfId="0" applyAlignment="1" applyFont="1">
      <alignment horizontal="center" shrinkToFit="0" vertical="center" wrapText="0"/>
    </xf>
    <xf borderId="0" fillId="18" fontId="26" numFmtId="0" xfId="0" applyFont="1"/>
    <xf borderId="0" fillId="0" fontId="27" numFmtId="0" xfId="0" applyAlignment="1" applyFont="1">
      <alignment vertical="center"/>
    </xf>
    <xf borderId="10" fillId="0" fontId="28" numFmtId="165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6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1" fillId="19" fontId="29" numFmtId="9" xfId="0" applyAlignment="1" applyBorder="1" applyFill="1" applyFont="1" applyNumberForma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3" fillId="21" fontId="29" numFmtId="0" xfId="0" applyAlignment="1" applyBorder="1" applyFill="1" applyFont="1">
      <alignment horizontal="center" shrinkToFit="0" vertical="center" wrapText="0"/>
    </xf>
    <xf borderId="13" fillId="22" fontId="29" numFmtId="0" xfId="0" applyAlignment="1" applyBorder="1" applyFill="1" applyFont="1">
      <alignment horizontal="center" shrinkToFit="0" vertical="center" wrapText="0"/>
    </xf>
    <xf borderId="13" fillId="23" fontId="29" numFmtId="0" xfId="0" applyAlignment="1" applyBorder="1" applyFill="1" applyFont="1">
      <alignment horizontal="center" shrinkToFit="0" vertical="center" wrapText="0"/>
    </xf>
    <xf borderId="11" fillId="2" fontId="29" numFmtId="9" xfId="0" applyAlignment="1" applyBorder="1" applyFont="1" applyNumberFormat="1">
      <alignment horizontal="center" shrinkToFit="0" vertical="center" wrapText="0"/>
    </xf>
    <xf borderId="13" fillId="24" fontId="29" numFmtId="0" xfId="0" applyAlignment="1" applyBorder="1" applyFill="1" applyFont="1">
      <alignment horizontal="center" shrinkToFit="0" vertical="center" wrapText="0"/>
    </xf>
    <xf borderId="13" fillId="0" fontId="26" numFmtId="9" xfId="0" applyBorder="1" applyFont="1" applyNumberFormat="1"/>
    <xf borderId="11" fillId="2" fontId="26" numFmtId="9" xfId="0" applyBorder="1" applyFont="1" applyNumberFormat="1"/>
    <xf borderId="10" fillId="0" fontId="28" numFmtId="49" xfId="0" applyAlignment="1" applyBorder="1" applyFont="1" applyNumberFormat="1">
      <alignment horizontal="left" readingOrder="0" shrinkToFit="0" vertical="center" wrapText="1"/>
    </xf>
    <xf borderId="12" fillId="0" fontId="29" numFmtId="0" xfId="0" applyAlignment="1" applyBorder="1" applyFont="1">
      <alignment horizontal="center" shrinkToFit="0" vertical="center" wrapText="0"/>
    </xf>
    <xf borderId="12" fillId="21" fontId="29" numFmtId="0" xfId="0" applyAlignment="1" applyBorder="1" applyFont="1">
      <alignment horizontal="center" shrinkToFit="0" vertical="center" wrapText="0"/>
    </xf>
    <xf borderId="12" fillId="22" fontId="29" numFmtId="0" xfId="0" applyAlignment="1" applyBorder="1" applyFont="1">
      <alignment horizontal="center" shrinkToFit="0" vertical="center" wrapText="0"/>
    </xf>
    <xf borderId="12" fillId="23" fontId="29" numFmtId="0" xfId="0" applyAlignment="1" applyBorder="1" applyFont="1">
      <alignment horizontal="center" shrinkToFit="0" vertical="center" wrapText="0"/>
    </xf>
    <xf borderId="12" fillId="24" fontId="29" numFmtId="0" xfId="0" applyAlignment="1" applyBorder="1" applyFont="1">
      <alignment horizontal="center" shrinkToFit="0" vertical="center" wrapText="0"/>
    </xf>
    <xf borderId="12" fillId="0" fontId="26" numFmtId="9" xfId="0" applyBorder="1" applyFont="1" applyNumberFormat="1"/>
    <xf borderId="14" fillId="0" fontId="29" numFmtId="9" xfId="0" applyAlignment="1" applyBorder="1" applyFont="1" applyNumberFormat="1">
      <alignment horizontal="center" shrinkToFit="0" vertical="center" wrapText="0"/>
    </xf>
    <xf borderId="12" fillId="2" fontId="29" numFmtId="164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1" fillId="20" fontId="29" numFmtId="9" xfId="0" applyAlignment="1" applyBorder="1" applyFont="1" applyNumberForma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2" fillId="0" fontId="29" numFmtId="164" xfId="0" applyAlignment="1" applyBorder="1" applyFont="1" applyNumberFormat="1">
      <alignment horizontal="center" shrinkToFit="0" vertical="center" wrapText="0"/>
    </xf>
    <xf borderId="12" fillId="20" fontId="29" numFmtId="0" xfId="0" applyAlignment="1" applyBorder="1" applyFont="1">
      <alignment horizontal="center" shrinkToFit="0" vertical="center" wrapText="0"/>
    </xf>
    <xf borderId="11" fillId="25" fontId="29" numFmtId="9" xfId="0" applyAlignment="1" applyBorder="1" applyFill="1" applyFont="1" applyNumberFormat="1">
      <alignment horizontal="center" shrinkToFit="0" vertical="center" wrapText="0"/>
    </xf>
    <xf borderId="12" fillId="2" fontId="29" numFmtId="0" xfId="0" applyAlignment="1" applyBorder="1" applyFont="1">
      <alignment horizontal="center" shrinkToFit="0" vertical="center" wrapText="0"/>
    </xf>
    <xf borderId="0" fillId="26" fontId="30" numFmtId="0" xfId="0" applyAlignment="1" applyFill="1" applyFont="1">
      <alignment horizontal="left" readingOrder="0" shrinkToFit="0" vertical="center" wrapText="1"/>
    </xf>
    <xf borderId="0" fillId="26" fontId="30" numFmtId="0" xfId="0" applyAlignment="1" applyFont="1">
      <alignment readingOrder="0" shrinkToFit="0" vertical="center" wrapText="1"/>
    </xf>
    <xf borderId="0" fillId="26" fontId="28" numFmtId="0" xfId="0" applyAlignment="1" applyFont="1">
      <alignment readingOrder="0" shrinkToFit="0" vertical="center" wrapText="1"/>
    </xf>
    <xf borderId="0" fillId="26" fontId="28" numFmtId="166" xfId="0" applyAlignment="1" applyFont="1" applyNumberFormat="1">
      <alignment horizontal="left" readingOrder="0" shrinkToFit="0" vertical="center" wrapText="1"/>
    </xf>
    <xf borderId="0" fillId="26" fontId="28" numFmtId="0" xfId="0" applyAlignment="1" applyFont="1">
      <alignment horizontal="center" readingOrder="0" shrinkToFit="0" vertical="center" wrapText="1"/>
    </xf>
    <xf borderId="0" fillId="26" fontId="29" numFmtId="9" xfId="0" applyAlignment="1" applyFont="1" applyNumberFormat="1">
      <alignment horizontal="center" shrinkToFit="0" vertical="center" wrapText="0"/>
    </xf>
    <xf borderId="0" fillId="26" fontId="29" numFmtId="164" xfId="0" applyAlignment="1" applyFont="1" applyNumberFormat="1">
      <alignment horizontal="center" shrinkToFit="0" vertical="center" wrapText="0"/>
    </xf>
    <xf borderId="0" fillId="26" fontId="29" numFmtId="0" xfId="0" applyAlignment="1" applyFont="1">
      <alignment horizontal="center" shrinkToFit="0" vertical="center" wrapText="0"/>
    </xf>
    <xf borderId="0" fillId="26" fontId="29" numFmtId="0" xfId="0" applyAlignment="1" applyFont="1">
      <alignment horizontal="center" shrinkToFit="0" vertical="center" wrapText="0"/>
    </xf>
    <xf borderId="0" fillId="26" fontId="26" numFmtId="9" xfId="0" applyFont="1" applyNumberFormat="1"/>
    <xf borderId="12" fillId="19" fontId="29" numFmtId="0" xfId="0" applyAlignment="1" applyBorder="1" applyFont="1">
      <alignment horizontal="center" shrinkToFit="0" vertical="center" wrapText="0"/>
    </xf>
    <xf borderId="12" fillId="25" fontId="29" numFmtId="0" xfId="0" applyAlignment="1" applyBorder="1" applyFont="1">
      <alignment horizontal="center" shrinkToFit="0" vertical="center" wrapText="0"/>
    </xf>
    <xf borderId="0" fillId="0" fontId="28" numFmtId="165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15" fillId="19" fontId="29" numFmtId="0" xfId="0" applyAlignment="1" applyBorder="1" applyFont="1">
      <alignment horizontal="center" shrinkToFit="0" vertical="center" wrapText="0"/>
    </xf>
    <xf borderId="15" fillId="25" fontId="29" numFmtId="0" xfId="0" applyAlignment="1" applyBorder="1" applyFont="1">
      <alignment horizontal="center" shrinkToFit="0" vertical="center" wrapText="0"/>
    </xf>
    <xf borderId="13" fillId="19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6" numFmtId="9" xfId="0" applyBorder="1" applyFont="1" applyNumberFormat="1"/>
    <xf borderId="0" fillId="19" fontId="29" numFmtId="0" xfId="0" applyAlignment="1" applyFont="1">
      <alignment horizontal="center" shrinkToFit="0" vertical="center" wrapText="0"/>
    </xf>
    <xf borderId="0" fillId="25" fontId="29" numFmtId="0" xfId="0" applyAlignment="1" applyFont="1">
      <alignment horizontal="center" shrinkToFit="0" vertical="center" wrapText="0"/>
    </xf>
    <xf borderId="11" fillId="22" fontId="29" numFmtId="9" xfId="0" applyAlignment="1" applyBorder="1" applyFont="1" applyNumberFormat="1">
      <alignment horizontal="center" shrinkToFit="0" vertical="center" wrapText="0"/>
    </xf>
    <xf borderId="0" fillId="26" fontId="30" numFmtId="165" xfId="0" applyAlignment="1" applyFont="1" applyNumberFormat="1">
      <alignment horizontal="left" readingOrder="0" shrinkToFit="0" vertical="center" wrapText="1"/>
    </xf>
    <xf borderId="0" fillId="19" fontId="26" numFmtId="9" xfId="0" applyFont="1" applyNumberFormat="1"/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center" wrapText="0"/>
    </xf>
    <xf borderId="0" fillId="0" fontId="29" numFmtId="9" xfId="0" applyAlignment="1" applyFont="1" applyNumberFormat="1">
      <alignment horizontal="center" shrinkToFit="0" vertical="center" wrapText="0"/>
    </xf>
    <xf borderId="0" fillId="0" fontId="29" numFmtId="164" xfId="0" applyAlignment="1" applyFont="1" applyNumberForma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3.25"/>
    <col customWidth="1" min="4" max="4" width="19.0"/>
    <col customWidth="1" min="5" max="6" width="10.5"/>
    <col customWidth="1" min="7" max="7" width="9.63"/>
    <col customWidth="1" min="8" max="8" width="3.13"/>
    <col customWidth="1" min="9" max="68" width="3.0"/>
    <col customWidth="1" min="69" max="87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ht="21.0" customHeight="1">
      <c r="A2" s="1"/>
      <c r="B2" s="11"/>
      <c r="C2" s="12"/>
      <c r="D2" s="12"/>
      <c r="E2" s="12"/>
      <c r="F2" s="12"/>
      <c r="G2" s="12"/>
      <c r="H2" s="12"/>
      <c r="I2" s="13"/>
      <c r="J2" s="12"/>
      <c r="K2" s="12"/>
      <c r="L2" s="12"/>
      <c r="M2" s="12"/>
      <c r="N2" s="12"/>
      <c r="O2" s="14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5"/>
      <c r="AL2" s="15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1"/>
      <c r="AE3" s="21"/>
      <c r="AF3" s="21"/>
      <c r="AG3" s="21"/>
      <c r="AH3" s="21"/>
      <c r="AI3" s="21"/>
      <c r="AJ3" s="21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ht="21.0" customHeight="1">
      <c r="A4" s="1"/>
      <c r="B4" s="22"/>
      <c r="C4" s="23"/>
      <c r="D4" s="24"/>
      <c r="E4" s="23"/>
      <c r="F4" s="23"/>
      <c r="G4" s="23"/>
      <c r="H4" s="25"/>
      <c r="I4" s="22"/>
      <c r="J4" s="23"/>
      <c r="K4" s="23"/>
      <c r="L4" s="23"/>
      <c r="M4" s="23"/>
      <c r="N4" s="23"/>
      <c r="O4" s="23"/>
      <c r="P4" s="2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7"/>
      <c r="AD4" s="21"/>
      <c r="AE4" s="21"/>
      <c r="AF4" s="21"/>
      <c r="AG4" s="21"/>
      <c r="AH4" s="21"/>
      <c r="AI4" s="21"/>
      <c r="AJ4" s="21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ht="21.0" customHeight="1">
      <c r="A5" s="1"/>
      <c r="B5" s="22"/>
      <c r="C5" s="23"/>
      <c r="D5" s="24" t="s">
        <v>0</v>
      </c>
      <c r="E5" s="23"/>
      <c r="F5" s="23"/>
      <c r="G5" s="23"/>
      <c r="H5" s="25"/>
      <c r="I5" s="22"/>
      <c r="J5" s="23"/>
      <c r="K5" s="23"/>
      <c r="L5" s="23"/>
      <c r="M5" s="23"/>
      <c r="N5" s="23"/>
      <c r="O5" s="23"/>
      <c r="P5" s="26" t="s">
        <v>1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8"/>
      <c r="AC5" s="27"/>
      <c r="AD5" s="20"/>
      <c r="AE5" s="20"/>
      <c r="AF5" s="20"/>
      <c r="AG5" s="20"/>
      <c r="AH5" s="20"/>
      <c r="AI5" s="20"/>
      <c r="AJ5" s="20"/>
      <c r="AK5" s="1"/>
      <c r="AL5" s="29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ht="21.0" customHeight="1">
      <c r="A6" s="30"/>
      <c r="B6" s="31"/>
      <c r="C6" s="31"/>
      <c r="D6" s="31"/>
      <c r="E6" s="31"/>
      <c r="F6" s="31"/>
      <c r="G6" s="32"/>
      <c r="H6" s="32"/>
      <c r="I6" s="31"/>
      <c r="J6" s="31"/>
      <c r="K6" s="31"/>
      <c r="L6" s="31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</row>
    <row r="7" ht="21.0" customHeight="1">
      <c r="A7" s="30"/>
      <c r="B7" s="31"/>
      <c r="C7" s="31"/>
      <c r="D7" s="31"/>
      <c r="E7" s="31"/>
      <c r="F7" s="31"/>
      <c r="G7" s="32"/>
      <c r="H7" s="32"/>
      <c r="I7" s="31"/>
      <c r="J7" s="31"/>
      <c r="K7" s="31"/>
      <c r="L7" s="31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</row>
    <row r="8" ht="17.25" customHeight="1">
      <c r="A8" s="33"/>
      <c r="B8" s="34" t="s">
        <v>2</v>
      </c>
      <c r="C8" s="34" t="s">
        <v>3</v>
      </c>
      <c r="D8" s="34" t="s">
        <v>4</v>
      </c>
      <c r="E8" s="34" t="s">
        <v>5</v>
      </c>
      <c r="F8" s="34" t="s">
        <v>6</v>
      </c>
      <c r="G8" s="34" t="s">
        <v>7</v>
      </c>
      <c r="H8" s="35"/>
      <c r="W8" s="36"/>
      <c r="AL8" s="37"/>
      <c r="BA8" s="38"/>
      <c r="BO8" s="39"/>
      <c r="BP8" s="40"/>
      <c r="CD8" s="39"/>
      <c r="CE8" s="41"/>
      <c r="CF8" s="41"/>
      <c r="CG8" s="41"/>
      <c r="CH8" s="41"/>
      <c r="CI8" s="41"/>
    </row>
    <row r="9" ht="17.25" customHeight="1">
      <c r="A9" s="42"/>
      <c r="H9" s="43" t="s">
        <v>8</v>
      </c>
      <c r="I9" s="44"/>
      <c r="J9" s="44"/>
      <c r="K9" s="44"/>
      <c r="L9" s="45"/>
      <c r="M9" s="43" t="s">
        <v>9</v>
      </c>
      <c r="N9" s="44"/>
      <c r="O9" s="44"/>
      <c r="P9" s="44"/>
      <c r="Q9" s="45"/>
      <c r="R9" s="43" t="s">
        <v>10</v>
      </c>
      <c r="S9" s="44"/>
      <c r="T9" s="44"/>
      <c r="U9" s="44"/>
      <c r="V9" s="45"/>
      <c r="W9" s="46" t="s">
        <v>11</v>
      </c>
      <c r="X9" s="44"/>
      <c r="Y9" s="44"/>
      <c r="Z9" s="44"/>
      <c r="AA9" s="45"/>
      <c r="AB9" s="46" t="s">
        <v>12</v>
      </c>
      <c r="AC9" s="44"/>
      <c r="AD9" s="44"/>
      <c r="AE9" s="44"/>
      <c r="AF9" s="45"/>
      <c r="AG9" s="46" t="s">
        <v>13</v>
      </c>
      <c r="AH9" s="44"/>
      <c r="AI9" s="44"/>
      <c r="AJ9" s="44"/>
      <c r="AK9" s="45"/>
      <c r="AL9" s="47" t="s">
        <v>14</v>
      </c>
      <c r="AM9" s="44"/>
      <c r="AN9" s="44"/>
      <c r="AO9" s="44"/>
      <c r="AP9" s="45"/>
      <c r="AQ9" s="47" t="s">
        <v>15</v>
      </c>
      <c r="AR9" s="44"/>
      <c r="AS9" s="44"/>
      <c r="AT9" s="44"/>
      <c r="AU9" s="45"/>
      <c r="AV9" s="47" t="s">
        <v>16</v>
      </c>
      <c r="AW9" s="44"/>
      <c r="AX9" s="44"/>
      <c r="AY9" s="44"/>
      <c r="AZ9" s="45"/>
      <c r="BA9" s="48" t="s">
        <v>17</v>
      </c>
      <c r="BB9" s="44"/>
      <c r="BC9" s="44"/>
      <c r="BD9" s="44"/>
      <c r="BE9" s="45"/>
      <c r="BF9" s="48" t="s">
        <v>18</v>
      </c>
      <c r="BG9" s="44"/>
      <c r="BH9" s="44"/>
      <c r="BI9" s="44"/>
      <c r="BJ9" s="45"/>
      <c r="BK9" s="48" t="s">
        <v>19</v>
      </c>
      <c r="BL9" s="44"/>
      <c r="BM9" s="44"/>
      <c r="BN9" s="44"/>
      <c r="BO9" s="45"/>
      <c r="BP9" s="49" t="s">
        <v>20</v>
      </c>
      <c r="BQ9" s="44"/>
      <c r="BR9" s="44"/>
      <c r="BS9" s="44"/>
      <c r="BT9" s="45"/>
      <c r="BU9" s="49" t="s">
        <v>21</v>
      </c>
      <c r="BV9" s="44"/>
      <c r="BW9" s="44"/>
      <c r="BX9" s="44"/>
      <c r="BY9" s="45"/>
      <c r="BZ9" s="49" t="s">
        <v>22</v>
      </c>
      <c r="CA9" s="44"/>
      <c r="CB9" s="44"/>
      <c r="CC9" s="44"/>
      <c r="CD9" s="45"/>
      <c r="CE9" s="50" t="s">
        <v>22</v>
      </c>
      <c r="CF9" s="44"/>
      <c r="CG9" s="44"/>
      <c r="CH9" s="44"/>
      <c r="CI9" s="45"/>
    </row>
    <row r="10" ht="17.25" customHeight="1">
      <c r="A10" s="51"/>
      <c r="H10" s="52" t="s">
        <v>23</v>
      </c>
      <c r="I10" s="52" t="s">
        <v>24</v>
      </c>
      <c r="J10" s="52" t="s">
        <v>25</v>
      </c>
      <c r="K10" s="52" t="s">
        <v>26</v>
      </c>
      <c r="L10" s="52" t="s">
        <v>27</v>
      </c>
      <c r="M10" s="52" t="s">
        <v>23</v>
      </c>
      <c r="N10" s="52" t="s">
        <v>24</v>
      </c>
      <c r="O10" s="52" t="s">
        <v>25</v>
      </c>
      <c r="P10" s="52" t="s">
        <v>26</v>
      </c>
      <c r="Q10" s="52" t="s">
        <v>27</v>
      </c>
      <c r="R10" s="52" t="s">
        <v>23</v>
      </c>
      <c r="S10" s="52" t="s">
        <v>24</v>
      </c>
      <c r="T10" s="52" t="s">
        <v>25</v>
      </c>
      <c r="U10" s="52" t="s">
        <v>26</v>
      </c>
      <c r="V10" s="52" t="s">
        <v>27</v>
      </c>
      <c r="W10" s="53" t="s">
        <v>23</v>
      </c>
      <c r="X10" s="53" t="s">
        <v>24</v>
      </c>
      <c r="Y10" s="53" t="s">
        <v>25</v>
      </c>
      <c r="Z10" s="53" t="s">
        <v>26</v>
      </c>
      <c r="AA10" s="53" t="s">
        <v>27</v>
      </c>
      <c r="AB10" s="53" t="s">
        <v>23</v>
      </c>
      <c r="AC10" s="53" t="s">
        <v>24</v>
      </c>
      <c r="AD10" s="53" t="s">
        <v>25</v>
      </c>
      <c r="AE10" s="53" t="s">
        <v>26</v>
      </c>
      <c r="AF10" s="53" t="s">
        <v>27</v>
      </c>
      <c r="AG10" s="53" t="s">
        <v>23</v>
      </c>
      <c r="AH10" s="53" t="s">
        <v>24</v>
      </c>
      <c r="AI10" s="53" t="s">
        <v>25</v>
      </c>
      <c r="AJ10" s="53" t="s">
        <v>26</v>
      </c>
      <c r="AK10" s="53" t="s">
        <v>27</v>
      </c>
      <c r="AL10" s="54" t="s">
        <v>23</v>
      </c>
      <c r="AM10" s="54" t="s">
        <v>24</v>
      </c>
      <c r="AN10" s="54" t="s">
        <v>25</v>
      </c>
      <c r="AO10" s="54" t="s">
        <v>26</v>
      </c>
      <c r="AP10" s="54" t="s">
        <v>27</v>
      </c>
      <c r="AQ10" s="54" t="s">
        <v>23</v>
      </c>
      <c r="AR10" s="54" t="s">
        <v>24</v>
      </c>
      <c r="AS10" s="54" t="s">
        <v>25</v>
      </c>
      <c r="AT10" s="54" t="s">
        <v>26</v>
      </c>
      <c r="AU10" s="54" t="s">
        <v>27</v>
      </c>
      <c r="AV10" s="54" t="s">
        <v>23</v>
      </c>
      <c r="AW10" s="54" t="s">
        <v>24</v>
      </c>
      <c r="AX10" s="54" t="s">
        <v>25</v>
      </c>
      <c r="AY10" s="54" t="s">
        <v>26</v>
      </c>
      <c r="AZ10" s="54" t="s">
        <v>27</v>
      </c>
      <c r="BA10" s="55" t="s">
        <v>23</v>
      </c>
      <c r="BB10" s="55" t="s">
        <v>24</v>
      </c>
      <c r="BC10" s="55" t="s">
        <v>25</v>
      </c>
      <c r="BD10" s="55" t="s">
        <v>26</v>
      </c>
      <c r="BE10" s="55" t="s">
        <v>27</v>
      </c>
      <c r="BF10" s="55" t="s">
        <v>23</v>
      </c>
      <c r="BG10" s="55" t="s">
        <v>24</v>
      </c>
      <c r="BH10" s="55" t="s">
        <v>25</v>
      </c>
      <c r="BI10" s="55" t="s">
        <v>26</v>
      </c>
      <c r="BJ10" s="55" t="s">
        <v>27</v>
      </c>
      <c r="BK10" s="55" t="s">
        <v>23</v>
      </c>
      <c r="BL10" s="55" t="s">
        <v>24</v>
      </c>
      <c r="BM10" s="55" t="s">
        <v>25</v>
      </c>
      <c r="BN10" s="55" t="s">
        <v>26</v>
      </c>
      <c r="BO10" s="55" t="s">
        <v>27</v>
      </c>
      <c r="BP10" s="55" t="s">
        <v>23</v>
      </c>
      <c r="BQ10" s="55" t="s">
        <v>24</v>
      </c>
      <c r="BR10" s="55" t="s">
        <v>25</v>
      </c>
      <c r="BS10" s="55" t="s">
        <v>26</v>
      </c>
      <c r="BT10" s="55" t="s">
        <v>27</v>
      </c>
      <c r="BU10" s="55" t="s">
        <v>23</v>
      </c>
      <c r="BV10" s="55" t="s">
        <v>24</v>
      </c>
      <c r="BW10" s="55" t="s">
        <v>25</v>
      </c>
      <c r="BX10" s="55" t="s">
        <v>26</v>
      </c>
      <c r="BY10" s="55" t="s">
        <v>27</v>
      </c>
      <c r="BZ10" s="55" t="s">
        <v>23</v>
      </c>
      <c r="CA10" s="55" t="s">
        <v>24</v>
      </c>
      <c r="CB10" s="55" t="s">
        <v>25</v>
      </c>
      <c r="CC10" s="55" t="s">
        <v>26</v>
      </c>
      <c r="CD10" s="55" t="s">
        <v>27</v>
      </c>
      <c r="CE10" s="56" t="s">
        <v>23</v>
      </c>
      <c r="CF10" s="56" t="s">
        <v>24</v>
      </c>
      <c r="CG10" s="56" t="s">
        <v>25</v>
      </c>
      <c r="CH10" s="56" t="s">
        <v>26</v>
      </c>
      <c r="CI10" s="56" t="s">
        <v>27</v>
      </c>
    </row>
    <row r="11" ht="21.0" customHeight="1">
      <c r="A11" s="30"/>
      <c r="B11" s="57">
        <v>1.0</v>
      </c>
      <c r="C11" s="58" t="s">
        <v>28</v>
      </c>
      <c r="D11" s="59"/>
      <c r="E11" s="59"/>
      <c r="F11" s="59"/>
      <c r="G11" s="59"/>
      <c r="H11" s="60"/>
      <c r="I11" s="61"/>
      <c r="J11" s="62"/>
      <c r="K11" s="62"/>
      <c r="L11" s="63"/>
      <c r="M11" s="60"/>
      <c r="N11" s="63"/>
      <c r="O11" s="60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4"/>
      <c r="CF11" s="64"/>
      <c r="CG11" s="64"/>
      <c r="CH11" s="64"/>
      <c r="CI11" s="64"/>
    </row>
    <row r="12" ht="17.25" customHeight="1" outlineLevel="1">
      <c r="A12" s="65"/>
      <c r="B12" s="66">
        <v>43101.0</v>
      </c>
      <c r="C12" s="67" t="s">
        <v>29</v>
      </c>
      <c r="D12" s="67" t="s">
        <v>30</v>
      </c>
      <c r="E12" s="68">
        <v>46097.0</v>
      </c>
      <c r="F12" s="68">
        <f>E12+7</f>
        <v>46104</v>
      </c>
      <c r="G12" s="69">
        <f>DAYS360(E12,F12)</f>
        <v>7</v>
      </c>
      <c r="H12" s="70"/>
      <c r="I12" s="70"/>
      <c r="J12" s="70"/>
      <c r="K12" s="70"/>
      <c r="L12" s="70"/>
      <c r="M12" s="70"/>
      <c r="N12" s="71"/>
      <c r="O12" s="71"/>
      <c r="P12" s="71"/>
      <c r="Q12" s="71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3"/>
      <c r="AC12" s="73"/>
      <c r="AD12" s="73"/>
      <c r="AE12" s="73"/>
      <c r="AF12" s="73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4"/>
      <c r="AR12" s="74"/>
      <c r="AS12" s="74"/>
      <c r="AT12" s="74"/>
      <c r="AU12" s="74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5"/>
      <c r="BG12" s="75"/>
      <c r="BH12" s="75"/>
      <c r="BI12" s="75"/>
      <c r="BJ12" s="75"/>
      <c r="BK12" s="72"/>
      <c r="BL12" s="76"/>
      <c r="BM12" s="76"/>
      <c r="BN12" s="76"/>
      <c r="BO12" s="76"/>
      <c r="BP12" s="72"/>
      <c r="BQ12" s="72"/>
      <c r="BR12" s="72"/>
      <c r="BS12" s="72"/>
      <c r="BT12" s="72"/>
      <c r="BU12" s="77"/>
      <c r="BV12" s="77"/>
      <c r="BW12" s="77"/>
      <c r="BX12" s="77"/>
      <c r="BY12" s="77"/>
      <c r="BZ12" s="72"/>
      <c r="CA12" s="76"/>
      <c r="CB12" s="76"/>
      <c r="CC12" s="76"/>
      <c r="CD12" s="76"/>
      <c r="CE12" s="78"/>
      <c r="CF12" s="79"/>
      <c r="CG12" s="79"/>
      <c r="CH12" s="79"/>
      <c r="CI12" s="79"/>
    </row>
    <row r="13" ht="17.25" customHeight="1" outlineLevel="1">
      <c r="A13" s="65"/>
      <c r="B13" s="57">
        <v>2.0</v>
      </c>
      <c r="C13" s="58" t="s">
        <v>31</v>
      </c>
      <c r="D13" s="59"/>
      <c r="E13" s="59"/>
      <c r="F13" s="59"/>
      <c r="G13" s="59"/>
      <c r="H13" s="60"/>
      <c r="I13" s="61"/>
      <c r="J13" s="62"/>
      <c r="K13" s="62"/>
      <c r="L13" s="63"/>
      <c r="M13" s="60"/>
      <c r="N13" s="63"/>
      <c r="O13" s="60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4"/>
      <c r="CF13" s="64"/>
      <c r="CG13" s="64"/>
      <c r="CH13" s="64"/>
      <c r="CI13" s="64"/>
    </row>
    <row r="14" ht="17.25" customHeight="1" outlineLevel="1">
      <c r="A14" s="65"/>
      <c r="B14" s="80" t="s">
        <v>32</v>
      </c>
      <c r="C14" s="67" t="s">
        <v>33</v>
      </c>
      <c r="D14" s="67" t="s">
        <v>34</v>
      </c>
      <c r="E14" s="68">
        <f>E12</f>
        <v>46097</v>
      </c>
      <c r="F14" s="68">
        <f>E14+14</f>
        <v>46111</v>
      </c>
      <c r="G14" s="69">
        <f t="shared" ref="G14:G15" si="1">DAYS360(E14,F14)</f>
        <v>14</v>
      </c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81"/>
      <c r="T14" s="81"/>
      <c r="U14" s="81"/>
      <c r="V14" s="81"/>
      <c r="W14" s="81"/>
      <c r="X14" s="81"/>
      <c r="Y14" s="81"/>
      <c r="Z14" s="81"/>
      <c r="AA14" s="81"/>
      <c r="AB14" s="82"/>
      <c r="AC14" s="82"/>
      <c r="AD14" s="82"/>
      <c r="AE14" s="82"/>
      <c r="AF14" s="82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3"/>
      <c r="AR14" s="83"/>
      <c r="AS14" s="83"/>
      <c r="AT14" s="83"/>
      <c r="AU14" s="83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4"/>
      <c r="BG14" s="84"/>
      <c r="BH14" s="84"/>
      <c r="BI14" s="84"/>
      <c r="BJ14" s="84"/>
      <c r="BK14" s="81"/>
      <c r="BL14" s="76"/>
      <c r="BM14" s="76"/>
      <c r="BN14" s="76"/>
      <c r="BO14" s="76"/>
      <c r="BP14" s="81"/>
      <c r="BQ14" s="81"/>
      <c r="BR14" s="81"/>
      <c r="BS14" s="81"/>
      <c r="BT14" s="81"/>
      <c r="BU14" s="85"/>
      <c r="BV14" s="85"/>
      <c r="BW14" s="85"/>
      <c r="BX14" s="85"/>
      <c r="BY14" s="85"/>
      <c r="BZ14" s="81"/>
      <c r="CA14" s="76"/>
      <c r="CB14" s="76"/>
      <c r="CC14" s="76"/>
      <c r="CD14" s="76"/>
      <c r="CE14" s="86"/>
      <c r="CF14" s="79"/>
      <c r="CG14" s="79"/>
      <c r="CH14" s="79"/>
      <c r="CI14" s="79"/>
    </row>
    <row r="15" ht="17.25" customHeight="1" outlineLevel="1">
      <c r="A15" s="65"/>
      <c r="B15" s="66">
        <v>45690.0</v>
      </c>
      <c r="C15" s="67" t="s">
        <v>35</v>
      </c>
      <c r="D15" s="67" t="s">
        <v>34</v>
      </c>
      <c r="E15" s="68">
        <f>F14-7</f>
        <v>46104</v>
      </c>
      <c r="F15" s="68">
        <f>E15+7</f>
        <v>46111</v>
      </c>
      <c r="G15" s="69">
        <f t="shared" si="1"/>
        <v>7</v>
      </c>
      <c r="H15" s="87"/>
      <c r="I15" s="88"/>
      <c r="J15" s="89"/>
      <c r="K15" s="89"/>
      <c r="L15" s="81"/>
      <c r="M15" s="90"/>
      <c r="N15" s="90"/>
      <c r="O15" s="90"/>
      <c r="P15" s="90"/>
      <c r="Q15" s="90"/>
      <c r="R15" s="76"/>
      <c r="S15" s="91"/>
      <c r="T15" s="91"/>
      <c r="U15" s="81"/>
      <c r="V15" s="81"/>
      <c r="W15" s="81"/>
      <c r="X15" s="81"/>
      <c r="Y15" s="81"/>
      <c r="Z15" s="81"/>
      <c r="AA15" s="81"/>
      <c r="AB15" s="82"/>
      <c r="AC15" s="82"/>
      <c r="AD15" s="82"/>
      <c r="AE15" s="82"/>
      <c r="AF15" s="82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3"/>
      <c r="AR15" s="83"/>
      <c r="AS15" s="83"/>
      <c r="AT15" s="83"/>
      <c r="AU15" s="83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75"/>
      <c r="BG15" s="75"/>
      <c r="BH15" s="84"/>
      <c r="BI15" s="84"/>
      <c r="BJ15" s="84"/>
      <c r="BK15" s="81"/>
      <c r="BL15" s="76"/>
      <c r="BM15" s="76"/>
      <c r="BN15" s="76"/>
      <c r="BO15" s="76"/>
      <c r="BP15" s="81"/>
      <c r="BQ15" s="81"/>
      <c r="BR15" s="81"/>
      <c r="BS15" s="81"/>
      <c r="BT15" s="81"/>
      <c r="BU15" s="77"/>
      <c r="BV15" s="77"/>
      <c r="BW15" s="85"/>
      <c r="BX15" s="85"/>
      <c r="BY15" s="85"/>
      <c r="BZ15" s="81"/>
      <c r="CA15" s="76"/>
      <c r="CB15" s="76"/>
      <c r="CC15" s="76"/>
      <c r="CD15" s="76"/>
      <c r="CE15" s="86"/>
      <c r="CF15" s="79"/>
      <c r="CG15" s="79"/>
      <c r="CH15" s="79"/>
      <c r="CI15" s="79"/>
    </row>
    <row r="16" ht="17.25" customHeight="1" outlineLevel="1">
      <c r="A16" s="65"/>
      <c r="B16" s="57">
        <v>3.0</v>
      </c>
      <c r="C16" s="58" t="s">
        <v>36</v>
      </c>
      <c r="D16" s="59"/>
      <c r="E16" s="59"/>
      <c r="F16" s="59"/>
      <c r="G16" s="59"/>
      <c r="H16" s="60"/>
      <c r="I16" s="61"/>
      <c r="J16" s="62"/>
      <c r="K16" s="62"/>
      <c r="L16" s="63"/>
      <c r="M16" s="60"/>
      <c r="N16" s="63"/>
      <c r="O16" s="60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4"/>
      <c r="CF16" s="64"/>
      <c r="CG16" s="64"/>
      <c r="CH16" s="64"/>
      <c r="CI16" s="64"/>
    </row>
    <row r="17" ht="17.25" customHeight="1" outlineLevel="1">
      <c r="A17" s="65"/>
      <c r="B17" s="66">
        <v>45660.0</v>
      </c>
      <c r="C17" s="67" t="s">
        <v>37</v>
      </c>
      <c r="D17" s="67" t="s">
        <v>38</v>
      </c>
      <c r="E17" s="68">
        <f>F14</f>
        <v>46111</v>
      </c>
      <c r="F17" s="68">
        <f>E17+14</f>
        <v>46125</v>
      </c>
      <c r="G17" s="69">
        <f t="shared" ref="G17:G18" si="2">DAYS360(E17,F17)</f>
        <v>13</v>
      </c>
      <c r="H17" s="87"/>
      <c r="I17" s="92"/>
      <c r="J17" s="89"/>
      <c r="K17" s="89"/>
      <c r="L17" s="81"/>
      <c r="M17" s="93"/>
      <c r="N17" s="71"/>
      <c r="O17" s="71"/>
      <c r="P17" s="71"/>
      <c r="Q17" s="71"/>
      <c r="R17" s="70"/>
      <c r="S17" s="70"/>
      <c r="T17" s="70"/>
      <c r="U17" s="70"/>
      <c r="V17" s="94"/>
      <c r="W17" s="70"/>
      <c r="X17" s="70"/>
      <c r="Y17" s="70"/>
      <c r="Z17" s="70"/>
      <c r="AA17" s="70"/>
      <c r="AB17" s="70"/>
      <c r="AC17" s="82"/>
      <c r="AD17" s="82"/>
      <c r="AE17" s="82"/>
      <c r="AF17" s="82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3"/>
      <c r="AR17" s="83"/>
      <c r="AS17" s="83"/>
      <c r="AT17" s="83"/>
      <c r="AU17" s="83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4"/>
      <c r="BG17" s="84"/>
      <c r="BH17" s="84"/>
      <c r="BI17" s="84"/>
      <c r="BJ17" s="84"/>
      <c r="BK17" s="81"/>
      <c r="BL17" s="76"/>
      <c r="BM17" s="76"/>
      <c r="BN17" s="76"/>
      <c r="BO17" s="76"/>
      <c r="BP17" s="81"/>
      <c r="BQ17" s="81"/>
      <c r="BR17" s="81"/>
      <c r="BS17" s="81"/>
      <c r="BT17" s="81"/>
      <c r="BU17" s="85"/>
      <c r="BV17" s="85"/>
      <c r="BW17" s="85"/>
      <c r="BX17" s="85"/>
      <c r="BY17" s="85"/>
      <c r="BZ17" s="81"/>
      <c r="CA17" s="76"/>
      <c r="CB17" s="76"/>
      <c r="CC17" s="76"/>
      <c r="CD17" s="76"/>
      <c r="CE17" s="86"/>
      <c r="CF17" s="79"/>
      <c r="CG17" s="79"/>
      <c r="CH17" s="79"/>
      <c r="CI17" s="79"/>
    </row>
    <row r="18" ht="17.25" customHeight="1" outlineLevel="1">
      <c r="A18" s="65"/>
      <c r="B18" s="66">
        <v>45691.0</v>
      </c>
      <c r="C18" s="67" t="s">
        <v>39</v>
      </c>
      <c r="D18" s="67" t="s">
        <v>40</v>
      </c>
      <c r="E18" s="68">
        <f>E17</f>
        <v>46111</v>
      </c>
      <c r="F18" s="68">
        <f>E18+7</f>
        <v>46118</v>
      </c>
      <c r="G18" s="69">
        <f t="shared" si="2"/>
        <v>6</v>
      </c>
      <c r="H18" s="87"/>
      <c r="I18" s="92"/>
      <c r="J18" s="89"/>
      <c r="K18" s="89"/>
      <c r="L18" s="81"/>
      <c r="M18" s="93"/>
      <c r="N18" s="71"/>
      <c r="O18" s="71"/>
      <c r="P18" s="71"/>
      <c r="Q18" s="71"/>
      <c r="R18" s="70"/>
      <c r="S18" s="70"/>
      <c r="T18" s="70"/>
      <c r="U18" s="70"/>
      <c r="V18" s="94"/>
      <c r="W18" s="70"/>
      <c r="X18" s="95"/>
      <c r="Y18" s="95"/>
      <c r="Z18" s="95"/>
      <c r="AA18" s="95"/>
      <c r="AB18" s="82"/>
      <c r="AC18" s="82"/>
      <c r="AD18" s="82"/>
      <c r="AE18" s="82"/>
      <c r="AF18" s="82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3"/>
      <c r="AR18" s="83"/>
      <c r="AS18" s="83"/>
      <c r="AT18" s="83"/>
      <c r="AU18" s="83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4"/>
      <c r="BG18" s="84"/>
      <c r="BH18" s="84"/>
      <c r="BI18" s="84"/>
      <c r="BJ18" s="84"/>
      <c r="BK18" s="81"/>
      <c r="BL18" s="76"/>
      <c r="BM18" s="76"/>
      <c r="BN18" s="76"/>
      <c r="BO18" s="76"/>
      <c r="BP18" s="81"/>
      <c r="BQ18" s="81"/>
      <c r="BR18" s="81"/>
      <c r="BS18" s="81"/>
      <c r="BT18" s="81"/>
      <c r="BU18" s="85"/>
      <c r="BV18" s="85"/>
      <c r="BW18" s="85"/>
      <c r="BX18" s="85"/>
      <c r="BY18" s="85"/>
      <c r="BZ18" s="81"/>
      <c r="CA18" s="76"/>
      <c r="CB18" s="76"/>
      <c r="CC18" s="76"/>
      <c r="CD18" s="76"/>
      <c r="CE18" s="86"/>
      <c r="CF18" s="79"/>
      <c r="CG18" s="79"/>
      <c r="CH18" s="79"/>
      <c r="CI18" s="79"/>
    </row>
    <row r="19" ht="17.25" customHeight="1" outlineLevel="1">
      <c r="A19" s="65"/>
      <c r="B19" s="96">
        <v>4.0</v>
      </c>
      <c r="C19" s="97" t="s">
        <v>41</v>
      </c>
      <c r="D19" s="98" t="s">
        <v>42</v>
      </c>
      <c r="E19" s="99">
        <v>46119.0</v>
      </c>
      <c r="F19" s="99">
        <v>46119.0</v>
      </c>
      <c r="G19" s="100"/>
      <c r="H19" s="101"/>
      <c r="I19" s="102"/>
      <c r="J19" s="103"/>
      <c r="K19" s="103"/>
      <c r="L19" s="104"/>
      <c r="M19" s="103"/>
      <c r="N19" s="104"/>
      <c r="O19" s="104"/>
      <c r="P19" s="104"/>
      <c r="Q19" s="104"/>
      <c r="R19" s="101"/>
      <c r="S19" s="101"/>
      <c r="T19" s="101"/>
      <c r="U19" s="101"/>
      <c r="V19" s="101"/>
      <c r="W19" s="101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1"/>
      <c r="BM19" s="101"/>
      <c r="BN19" s="101"/>
      <c r="BO19" s="101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1"/>
      <c r="CB19" s="101"/>
      <c r="CC19" s="101"/>
      <c r="CD19" s="101"/>
      <c r="CE19" s="105"/>
      <c r="CF19" s="105"/>
      <c r="CG19" s="105"/>
      <c r="CH19" s="105"/>
      <c r="CI19" s="105"/>
    </row>
    <row r="20" ht="17.25" customHeight="1" outlineLevel="1">
      <c r="A20" s="65"/>
      <c r="B20" s="57">
        <v>5.0</v>
      </c>
      <c r="C20" s="58" t="s">
        <v>43</v>
      </c>
      <c r="D20" s="59"/>
      <c r="E20" s="59"/>
      <c r="F20" s="59"/>
      <c r="G20" s="59"/>
      <c r="H20" s="60"/>
      <c r="I20" s="61"/>
      <c r="J20" s="62"/>
      <c r="K20" s="62"/>
      <c r="L20" s="63"/>
      <c r="M20" s="60"/>
      <c r="N20" s="63"/>
      <c r="O20" s="60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4"/>
      <c r="CF20" s="64"/>
      <c r="CG20" s="64"/>
      <c r="CH20" s="64"/>
      <c r="CI20" s="64"/>
    </row>
    <row r="21" ht="17.25" customHeight="1" outlineLevel="1">
      <c r="A21" s="65"/>
      <c r="B21" s="66">
        <v>46027.0</v>
      </c>
      <c r="C21" s="67" t="s">
        <v>44</v>
      </c>
      <c r="D21" s="67" t="s">
        <v>45</v>
      </c>
      <c r="E21" s="68">
        <f>F17</f>
        <v>46125</v>
      </c>
      <c r="F21" s="68">
        <f t="shared" ref="F21:F22" si="3">E21+49</f>
        <v>46174</v>
      </c>
      <c r="G21" s="69">
        <f t="shared" ref="G21:G22" si="4">DAYS360(E21,F21)+1</f>
        <v>49</v>
      </c>
      <c r="H21" s="87"/>
      <c r="I21" s="92"/>
      <c r="J21" s="81"/>
      <c r="K21" s="81"/>
      <c r="L21" s="81"/>
      <c r="M21" s="93"/>
      <c r="N21" s="71"/>
      <c r="O21" s="71"/>
      <c r="P21" s="71"/>
      <c r="Q21" s="71"/>
      <c r="R21" s="91"/>
      <c r="S21" s="91"/>
      <c r="T21" s="91"/>
      <c r="U21" s="91"/>
      <c r="V21" s="91"/>
      <c r="W21" s="91"/>
      <c r="X21" s="91"/>
      <c r="Y21" s="91"/>
      <c r="Z21" s="91"/>
      <c r="AA21" s="8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94"/>
      <c r="AQ21" s="70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7"/>
      <c r="BE21" s="106"/>
      <c r="BF21" s="106"/>
      <c r="BG21" s="106"/>
      <c r="BH21" s="106"/>
      <c r="BI21" s="106"/>
      <c r="BJ21" s="106"/>
      <c r="BK21" s="106"/>
      <c r="BL21" s="76"/>
      <c r="BM21" s="76"/>
      <c r="BN21" s="76"/>
      <c r="BO21" s="76"/>
      <c r="BP21" s="81"/>
      <c r="BQ21" s="81"/>
      <c r="BR21" s="81"/>
      <c r="BS21" s="81"/>
      <c r="BT21" s="81"/>
      <c r="BU21" s="85"/>
      <c r="BV21" s="85"/>
      <c r="BW21" s="85"/>
      <c r="BX21" s="85"/>
      <c r="BY21" s="85"/>
      <c r="BZ21" s="81"/>
      <c r="CA21" s="76"/>
      <c r="CB21" s="76"/>
      <c r="CC21" s="76"/>
      <c r="CD21" s="76"/>
      <c r="CE21" s="86"/>
      <c r="CF21" s="79"/>
      <c r="CG21" s="79"/>
      <c r="CH21" s="79"/>
      <c r="CI21" s="79"/>
    </row>
    <row r="22" ht="17.25" customHeight="1" outlineLevel="1">
      <c r="A22" s="65"/>
      <c r="B22" s="108">
        <v>46058.0</v>
      </c>
      <c r="C22" s="109" t="s">
        <v>46</v>
      </c>
      <c r="D22" s="109" t="s">
        <v>47</v>
      </c>
      <c r="E22" s="68">
        <f>E21</f>
        <v>46125</v>
      </c>
      <c r="F22" s="68">
        <f t="shared" si="3"/>
        <v>46174</v>
      </c>
      <c r="G22" s="69">
        <f t="shared" si="4"/>
        <v>49</v>
      </c>
      <c r="H22" s="87"/>
      <c r="I22" s="92"/>
      <c r="J22" s="81"/>
      <c r="K22" s="81"/>
      <c r="L22" s="81"/>
      <c r="M22" s="93"/>
      <c r="N22" s="71"/>
      <c r="O22" s="71"/>
      <c r="P22" s="71"/>
      <c r="Q22" s="7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94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1"/>
      <c r="BE22" s="110"/>
      <c r="BF22" s="112"/>
      <c r="BG22" s="112"/>
      <c r="BH22" s="112"/>
      <c r="BI22" s="112"/>
      <c r="BJ22" s="112"/>
      <c r="BK22" s="110"/>
      <c r="BL22" s="76"/>
      <c r="BM22" s="76"/>
      <c r="BN22" s="76"/>
      <c r="BO22" s="76"/>
      <c r="BP22" s="113"/>
      <c r="BQ22" s="113"/>
      <c r="BR22" s="113"/>
      <c r="BS22" s="113"/>
      <c r="BT22" s="113"/>
      <c r="BU22" s="77"/>
      <c r="BV22" s="77"/>
      <c r="BW22" s="77"/>
      <c r="BX22" s="77"/>
      <c r="BY22" s="77"/>
      <c r="BZ22" s="113"/>
      <c r="CA22" s="76"/>
      <c r="CB22" s="76"/>
      <c r="CC22" s="76"/>
      <c r="CD22" s="76"/>
      <c r="CE22" s="114"/>
      <c r="CF22" s="79"/>
      <c r="CG22" s="79"/>
      <c r="CH22" s="79"/>
      <c r="CI22" s="79"/>
    </row>
    <row r="23" ht="17.25" customHeight="1" outlineLevel="1">
      <c r="A23" s="65"/>
      <c r="B23" s="96">
        <v>6.0</v>
      </c>
      <c r="C23" s="97" t="s">
        <v>48</v>
      </c>
      <c r="D23" s="98" t="s">
        <v>49</v>
      </c>
      <c r="E23" s="99">
        <v>46160.0</v>
      </c>
      <c r="F23" s="99">
        <v>46165.0</v>
      </c>
      <c r="G23" s="100"/>
      <c r="H23" s="101"/>
      <c r="I23" s="102"/>
      <c r="J23" s="103"/>
      <c r="K23" s="103"/>
      <c r="L23" s="104"/>
      <c r="M23" s="103"/>
      <c r="N23" s="104"/>
      <c r="O23" s="104"/>
      <c r="P23" s="104"/>
      <c r="Q23" s="104"/>
      <c r="R23" s="101"/>
      <c r="S23" s="101"/>
      <c r="T23" s="101"/>
      <c r="U23" s="101"/>
      <c r="V23" s="101"/>
      <c r="W23" s="101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15"/>
      <c r="BB23" s="115"/>
      <c r="BC23" s="115"/>
      <c r="BD23" s="116"/>
      <c r="BE23" s="115"/>
      <c r="BF23" s="104"/>
      <c r="BG23" s="104"/>
      <c r="BH23" s="104"/>
      <c r="BI23" s="104"/>
      <c r="BJ23" s="104"/>
      <c r="BK23" s="104"/>
      <c r="BL23" s="101"/>
      <c r="BM23" s="101"/>
      <c r="BN23" s="101"/>
      <c r="BO23" s="101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1"/>
      <c r="CB23" s="101"/>
      <c r="CC23" s="101"/>
      <c r="CD23" s="101"/>
      <c r="CE23" s="105"/>
      <c r="CF23" s="105"/>
      <c r="CG23" s="105"/>
      <c r="CH23" s="105"/>
      <c r="CI23" s="105"/>
    </row>
    <row r="24" ht="17.25" customHeight="1" outlineLevel="1">
      <c r="A24" s="65"/>
      <c r="B24" s="57">
        <v>7.0</v>
      </c>
      <c r="C24" s="58" t="s">
        <v>50</v>
      </c>
      <c r="D24" s="59"/>
      <c r="E24" s="59"/>
      <c r="F24" s="59"/>
      <c r="G24" s="59"/>
      <c r="H24" s="60"/>
      <c r="I24" s="61"/>
      <c r="J24" s="62"/>
      <c r="K24" s="62"/>
      <c r="L24" s="63"/>
      <c r="M24" s="60"/>
      <c r="N24" s="63"/>
      <c r="O24" s="60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4"/>
      <c r="CF24" s="64"/>
      <c r="CG24" s="64"/>
      <c r="CH24" s="64"/>
      <c r="CI24" s="64"/>
    </row>
    <row r="25" ht="17.25" customHeight="1" outlineLevel="1">
      <c r="A25" s="65"/>
      <c r="B25" s="66">
        <v>46029.0</v>
      </c>
      <c r="C25" s="67" t="s">
        <v>51</v>
      </c>
      <c r="D25" s="67" t="s">
        <v>52</v>
      </c>
      <c r="E25" s="68">
        <f>F21</f>
        <v>46174</v>
      </c>
      <c r="F25" s="68">
        <f>E25+14</f>
        <v>46188</v>
      </c>
      <c r="G25" s="69">
        <f t="shared" ref="G25:G26" si="5">DAYS360(E25,F25)</f>
        <v>14</v>
      </c>
      <c r="H25" s="87"/>
      <c r="I25" s="92"/>
      <c r="J25" s="89"/>
      <c r="K25" s="89"/>
      <c r="L25" s="81"/>
      <c r="M25" s="93"/>
      <c r="N25" s="71"/>
      <c r="O25" s="71"/>
      <c r="P25" s="71"/>
      <c r="Q25" s="7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2"/>
      <c r="AC25" s="82"/>
      <c r="AD25" s="82"/>
      <c r="AE25" s="82"/>
      <c r="AF25" s="82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117"/>
      <c r="AR25" s="117"/>
      <c r="AS25" s="117"/>
      <c r="AT25" s="117"/>
      <c r="AU25" s="117"/>
      <c r="AV25" s="76"/>
      <c r="AW25" s="76"/>
      <c r="AX25" s="76"/>
      <c r="AY25" s="76"/>
      <c r="AZ25" s="76"/>
      <c r="BA25" s="76"/>
      <c r="BB25" s="95"/>
      <c r="BC25" s="95"/>
      <c r="BD25" s="95"/>
      <c r="BE25" s="95"/>
      <c r="BF25" s="84"/>
      <c r="BG25" s="84"/>
      <c r="BH25" s="84"/>
      <c r="BI25" s="84"/>
      <c r="BJ25" s="84"/>
      <c r="BK25" s="106"/>
      <c r="BL25" s="70"/>
      <c r="BM25" s="70"/>
      <c r="BN25" s="70"/>
      <c r="BO25" s="70"/>
      <c r="BP25" s="70"/>
      <c r="BQ25" s="106"/>
      <c r="BR25" s="106"/>
      <c r="BS25" s="106"/>
      <c r="BT25" s="106"/>
      <c r="BU25" s="106"/>
      <c r="BV25" s="85"/>
      <c r="BW25" s="85"/>
      <c r="BX25" s="85"/>
      <c r="BY25" s="85"/>
      <c r="BZ25" s="81"/>
      <c r="CA25" s="76"/>
      <c r="CB25" s="76"/>
      <c r="CC25" s="76"/>
      <c r="CD25" s="76"/>
      <c r="CE25" s="86"/>
      <c r="CF25" s="79"/>
      <c r="CG25" s="79"/>
      <c r="CH25" s="79"/>
      <c r="CI25" s="79"/>
    </row>
    <row r="26" ht="17.25" customHeight="1" outlineLevel="1">
      <c r="A26" s="65"/>
      <c r="B26" s="66">
        <v>46060.0</v>
      </c>
      <c r="C26" s="67" t="s">
        <v>53</v>
      </c>
      <c r="D26" s="67" t="s">
        <v>54</v>
      </c>
      <c r="E26" s="68">
        <f>E25</f>
        <v>46174</v>
      </c>
      <c r="F26" s="68">
        <f>E26+7</f>
        <v>46181</v>
      </c>
      <c r="G26" s="69">
        <f t="shared" si="5"/>
        <v>7</v>
      </c>
      <c r="H26" s="87"/>
      <c r="I26" s="92"/>
      <c r="J26" s="89"/>
      <c r="K26" s="89"/>
      <c r="L26" s="81"/>
      <c r="M26" s="71"/>
      <c r="N26" s="71"/>
      <c r="O26" s="71"/>
      <c r="P26" s="71"/>
      <c r="Q26" s="7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2"/>
      <c r="AC26" s="82"/>
      <c r="AD26" s="82"/>
      <c r="AE26" s="82"/>
      <c r="AF26" s="82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117"/>
      <c r="AR26" s="117"/>
      <c r="AS26" s="117"/>
      <c r="AT26" s="117"/>
      <c r="AU26" s="117"/>
      <c r="AV26" s="76"/>
      <c r="AW26" s="95"/>
      <c r="AX26" s="95"/>
      <c r="AY26" s="95"/>
      <c r="AZ26" s="95"/>
      <c r="BA26" s="95"/>
      <c r="BB26" s="95"/>
      <c r="BC26" s="95"/>
      <c r="BD26" s="95"/>
      <c r="BE26" s="95"/>
      <c r="BF26" s="84"/>
      <c r="BG26" s="84"/>
      <c r="BH26" s="84"/>
      <c r="BI26" s="84"/>
      <c r="BJ26" s="84"/>
      <c r="BK26" s="106"/>
      <c r="BL26" s="70"/>
      <c r="BM26" s="70"/>
      <c r="BN26" s="70"/>
      <c r="BO26" s="70"/>
      <c r="BP26" s="106"/>
      <c r="BQ26" s="95"/>
      <c r="BR26" s="95"/>
      <c r="BS26" s="95"/>
      <c r="BT26" s="95"/>
      <c r="BU26" s="85"/>
      <c r="BV26" s="85"/>
      <c r="BW26" s="85"/>
      <c r="BX26" s="85"/>
      <c r="BY26" s="85"/>
      <c r="BZ26" s="81"/>
      <c r="CA26" s="76"/>
      <c r="CB26" s="76"/>
      <c r="CC26" s="76"/>
      <c r="CD26" s="76"/>
      <c r="CE26" s="86"/>
      <c r="CF26" s="79"/>
      <c r="CG26" s="79"/>
      <c r="CH26" s="79"/>
      <c r="CI26" s="79"/>
    </row>
    <row r="27" ht="17.25" customHeight="1" outlineLevel="1">
      <c r="A27" s="65"/>
      <c r="B27" s="118">
        <v>46088.0</v>
      </c>
      <c r="C27" s="97" t="s">
        <v>55</v>
      </c>
      <c r="D27" s="98" t="s">
        <v>56</v>
      </c>
      <c r="E27" s="99">
        <v>46188.0</v>
      </c>
      <c r="F27" s="99">
        <v>46193.0</v>
      </c>
      <c r="G27" s="100"/>
      <c r="H27" s="101"/>
      <c r="I27" s="102"/>
      <c r="J27" s="103"/>
      <c r="K27" s="103"/>
      <c r="L27" s="104"/>
      <c r="M27" s="103"/>
      <c r="N27" s="104"/>
      <c r="O27" s="104"/>
      <c r="P27" s="104"/>
      <c r="Q27" s="104"/>
      <c r="R27" s="101"/>
      <c r="S27" s="101"/>
      <c r="T27" s="101"/>
      <c r="U27" s="101"/>
      <c r="V27" s="101"/>
      <c r="W27" s="101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1"/>
      <c r="BM27" s="101"/>
      <c r="BN27" s="101"/>
      <c r="BO27" s="101"/>
      <c r="BP27" s="104"/>
      <c r="BQ27" s="104"/>
      <c r="BR27" s="104"/>
      <c r="BS27" s="104"/>
      <c r="BT27" s="104"/>
      <c r="BU27" s="115"/>
      <c r="BV27" s="115"/>
      <c r="BW27" s="115"/>
      <c r="BX27" s="115"/>
      <c r="BY27" s="115"/>
      <c r="BZ27" s="104"/>
      <c r="CA27" s="101"/>
      <c r="CB27" s="101"/>
      <c r="CC27" s="101"/>
      <c r="CD27" s="101"/>
      <c r="CE27" s="105"/>
      <c r="CF27" s="105"/>
      <c r="CG27" s="105"/>
      <c r="CH27" s="105"/>
      <c r="CI27" s="105"/>
    </row>
    <row r="28" ht="17.25" customHeight="1" outlineLevel="1">
      <c r="A28" s="65"/>
      <c r="B28" s="96">
        <v>8.0</v>
      </c>
      <c r="C28" s="97" t="s">
        <v>57</v>
      </c>
      <c r="D28" s="98" t="s">
        <v>58</v>
      </c>
      <c r="E28" s="99">
        <v>46202.0</v>
      </c>
      <c r="F28" s="99">
        <v>46207.0</v>
      </c>
      <c r="G28" s="100"/>
      <c r="H28" s="101"/>
      <c r="I28" s="102"/>
      <c r="J28" s="103"/>
      <c r="K28" s="103"/>
      <c r="L28" s="104"/>
      <c r="M28" s="103"/>
      <c r="N28" s="104"/>
      <c r="O28" s="104"/>
      <c r="P28" s="104"/>
      <c r="Q28" s="104"/>
      <c r="R28" s="101"/>
      <c r="S28" s="101"/>
      <c r="T28" s="101"/>
      <c r="U28" s="101"/>
      <c r="V28" s="101"/>
      <c r="W28" s="101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1"/>
      <c r="BM28" s="101"/>
      <c r="BN28" s="101"/>
      <c r="BO28" s="101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1"/>
      <c r="CB28" s="101"/>
      <c r="CC28" s="101"/>
      <c r="CD28" s="101"/>
      <c r="CE28" s="119"/>
      <c r="CF28" s="119"/>
      <c r="CG28" s="119"/>
      <c r="CH28" s="119"/>
      <c r="CI28" s="119"/>
    </row>
    <row r="29" ht="17.25" customHeight="1" outlineLevel="1">
      <c r="A29" s="65"/>
      <c r="B29" s="108"/>
      <c r="C29" s="109"/>
      <c r="D29" s="109"/>
      <c r="E29" s="120"/>
      <c r="F29" s="120"/>
      <c r="G29" s="121"/>
      <c r="H29" s="122"/>
      <c r="I29" s="123"/>
      <c r="J29" s="124"/>
      <c r="K29" s="125"/>
      <c r="L29" s="125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</row>
  </sheetData>
  <mergeCells count="38">
    <mergeCell ref="BF9:BJ9"/>
    <mergeCell ref="BK9:BO9"/>
    <mergeCell ref="BP9:BT9"/>
    <mergeCell ref="BU9:BY9"/>
    <mergeCell ref="CE9:CI9"/>
    <mergeCell ref="G8:G10"/>
    <mergeCell ref="H8:V8"/>
    <mergeCell ref="W8:AK8"/>
    <mergeCell ref="AL8:AZ8"/>
    <mergeCell ref="BA8:BO8"/>
    <mergeCell ref="BP8:CD8"/>
    <mergeCell ref="H9:L9"/>
    <mergeCell ref="BZ9:CD9"/>
    <mergeCell ref="B2:H2"/>
    <mergeCell ref="I2:N2"/>
    <mergeCell ref="O2:AJ2"/>
    <mergeCell ref="B4:C4"/>
    <mergeCell ref="D4:G4"/>
    <mergeCell ref="I4:O4"/>
    <mergeCell ref="P4:AB4"/>
    <mergeCell ref="E8:E10"/>
    <mergeCell ref="F8:F10"/>
    <mergeCell ref="B5:C5"/>
    <mergeCell ref="D5:G5"/>
    <mergeCell ref="I5:O5"/>
    <mergeCell ref="P5:AA5"/>
    <mergeCell ref="B8:B10"/>
    <mergeCell ref="C8:C10"/>
    <mergeCell ref="D8:D10"/>
    <mergeCell ref="W9:AA9"/>
    <mergeCell ref="M9:Q9"/>
    <mergeCell ref="R9:V9"/>
    <mergeCell ref="AB9:AF9"/>
    <mergeCell ref="AG9:AK9"/>
    <mergeCell ref="AL9:AP9"/>
    <mergeCell ref="AQ9:AU9"/>
    <mergeCell ref="AV9:AZ9"/>
    <mergeCell ref="BA9:BE9"/>
  </mergeCells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